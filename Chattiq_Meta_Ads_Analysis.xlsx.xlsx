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udience Analysis" sheetId="1" r:id="rId1"/>
    <sheet name="KPI Summary" sheetId="2" r:id="rId2"/>
    <sheet name="Dashboard" sheetId="3" r:id="rId3"/>
    <sheet name="Insights &amp; Recommenda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3" l="1"/>
  <c r="I4" i="3"/>
  <c r="G4" i="3"/>
  <c r="E4" i="3"/>
  <c r="C4" i="3"/>
  <c r="A4" i="3"/>
  <c r="B6" i="2"/>
  <c r="B5" i="2"/>
  <c r="I5" i="1"/>
  <c r="B4" i="2"/>
  <c r="B3" i="2"/>
  <c r="B2" i="2"/>
  <c r="D5" i="1"/>
  <c r="C5" i="1"/>
  <c r="B5" i="1"/>
  <c r="H4" i="1"/>
  <c r="H3" i="1"/>
  <c r="H2" i="1"/>
</calcChain>
</file>

<file path=xl/sharedStrings.xml><?xml version="1.0" encoding="utf-8"?>
<sst xmlns="http://schemas.openxmlformats.org/spreadsheetml/2006/main" count="52" uniqueCount="46">
  <si>
    <t>Audience</t>
  </si>
  <si>
    <t>Spend</t>
  </si>
  <si>
    <t>Impressions</t>
  </si>
  <si>
    <t>Reach</t>
  </si>
  <si>
    <t>CTR</t>
  </si>
  <si>
    <t>CPC All</t>
  </si>
  <si>
    <t>CPC Link Click</t>
  </si>
  <si>
    <t>Travel &amp; Tourism</t>
  </si>
  <si>
    <t>Marketing Agencies</t>
  </si>
  <si>
    <t>Doctors / Healthcare</t>
  </si>
  <si>
    <t>CTR%</t>
  </si>
  <si>
    <t>Total</t>
  </si>
  <si>
    <t>KPI</t>
  </si>
  <si>
    <t>Value</t>
  </si>
  <si>
    <t>Total Spend</t>
  </si>
  <si>
    <t>Total Impressions</t>
  </si>
  <si>
    <t>Total Reach</t>
  </si>
  <si>
    <t>Link Clicks</t>
  </si>
  <si>
    <t>Overall Link CTR</t>
  </si>
  <si>
    <t>Overall Link CPC</t>
  </si>
  <si>
    <t>Chattiq Meta Ads – Audience Performance Dashboard</t>
  </si>
  <si>
    <t>Link CTR</t>
  </si>
  <si>
    <t>Link CPC</t>
  </si>
  <si>
    <t>Chattiq Meta Ads – Business Insights</t>
  </si>
  <si>
    <t>Marketing Agencies recorded the highest observed link CTR at 1.07%, compared with 0.59% for Travel &amp; Tourism and 0.30% for Doctors / Healthcare.</t>
  </si>
  <si>
    <t>Travel &amp; Tourism and Marketing Agencies each generated 6 link clicks, while Doctors / Healthcare generated 2.</t>
  </si>
  <si>
    <t>CPC</t>
  </si>
  <si>
    <t>CPC (All) varied across the three audiences, ranging from ₹20.07 for Marketing Agencies to ₹144.93 for Doctors / Healthcare.</t>
  </si>
  <si>
    <t>Budget</t>
  </si>
  <si>
    <t>The campaign spent ₹249.56 across the three audience ad sets. Doctors / Healthcare accounted for ₹144.93 of the spend.</t>
  </si>
  <si>
    <t>Recommendation</t>
  </si>
  <si>
    <t>Use the observed results as directional evidence and conduct a longer test with more data before making budget-scaling decisions.</t>
  </si>
  <si>
    <t>Business Question</t>
  </si>
  <si>
    <t>Which audience generated stronger engagement and more cost-efficient traffic for the Chattiq Meta Ads campaign?</t>
  </si>
  <si>
    <t>Key Findings</t>
  </si>
  <si>
    <t>1. Marketing Agencies had the highest observed CTR of 1.07%.</t>
  </si>
  <si>
    <t>2. Marketing Agencies had the lowest CPC (All) at ₹20.07</t>
  </si>
  <si>
    <t>3. Travel &amp; Tourism and Marketing Agencies generated 6 link clicks each.</t>
  </si>
  <si>
    <t>4. Doctors / Healthcare generated 2 link clicks and had the highest CPC (All) at ₹144.93.</t>
  </si>
  <si>
    <t>5. The campaign generated 14 total link clicks from ₹249.56 spend.</t>
  </si>
  <si>
    <t>Data Limitation</t>
  </si>
  <si>
    <t>The campaign had limited spend and a small number of clicks, so the results should be treated as directional rather than statistically conclusive.</t>
  </si>
  <si>
    <t>Next Test</t>
  </si>
  <si>
    <t>Run the audience test for a longer period with a larger sample size.</t>
  </si>
  <si>
    <t>Track actual leads or messaging conversations in addition to clicks.</t>
  </si>
  <si>
    <t>Compare audience performance again before reallocating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</si>
</sst>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4" formatCode="_ [$₹-446]\ * #,##0.00_ ;_ [$₹-446]\ * \-#,##0.00_ ;_ [$₹-446]\ * &quot;-&quot;??_ ;_ @_ "/>
    <numFmt numFmtId="175" formatCode="_ [$₹-449]\ * #,##0.00_ ;_ [$₹-449]\ * \-#,##0.00_ ;_ [$₹-449]\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2" applyNumberFormat="1" applyFont="1"/>
    <xf numFmtId="44" fontId="0" fillId="0" borderId="0" xfId="1" applyFont="1"/>
    <xf numFmtId="0" fontId="4" fillId="0" borderId="0" xfId="0" applyFont="1" applyAlignment="1">
      <alignment horizontal="center"/>
    </xf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0" fontId="2" fillId="0" borderId="0" xfId="0" applyFont="1"/>
    <xf numFmtId="0" fontId="3" fillId="0" borderId="0" xfId="0" applyFont="1"/>
    <xf numFmtId="174" fontId="5" fillId="0" borderId="0" xfId="0" applyNumberFormat="1" applyFont="1"/>
    <xf numFmtId="175" fontId="5" fillId="0" borderId="0" xfId="0" applyNumberFormat="1" applyFont="1"/>
    <xf numFmtId="0" fontId="7" fillId="0" borderId="0" xfId="0" applyFont="1"/>
    <xf numFmtId="0" fontId="2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CTR by Audience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Analysis'!$H$1</c:f>
              <c:strCache>
                <c:ptCount val="1"/>
                <c:pt idx="0">
                  <c:v>CTR%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Analysis'!$H$2:$H$5</c15:sqref>
                  </c15:fullRef>
                </c:ext>
              </c:extLst>
              <c:f>'Audience Analysis'!$H$2:$H$4</c:f>
              <c:numCache>
                <c:formatCode>0.00%</c:formatCode>
                <c:ptCount val="3"/>
                <c:pt idx="0">
                  <c:v>5.9171600000000003E-3</c:v>
                </c:pt>
                <c:pt idx="1">
                  <c:v>1.069519E-2</c:v>
                </c:pt>
                <c:pt idx="2">
                  <c:v>2.9940099999999996E-3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9D1-9EA1-DE59A039B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007272"/>
        <c:axId val="225005632"/>
      </c:barChart>
      <c:catAx>
        <c:axId val="22500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5632"/>
        <c:crosses val="autoZero"/>
        <c:auto val="1"/>
        <c:lblAlgn val="ctr"/>
        <c:lblOffset val="100"/>
        <c:noMultiLvlLbl val="0"/>
      </c:catAx>
      <c:valAx>
        <c:axId val="2250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CPC by Audience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Analysis'!$F$1</c:f>
              <c:strCache>
                <c:ptCount val="1"/>
                <c:pt idx="0">
                  <c:v>CPC 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Analysis'!$F$2:$F$5</c15:sqref>
                  </c15:fullRef>
                </c:ext>
              </c:extLst>
              <c:f>'Audience Analysis'!$F$2:$F$4</c:f>
              <c:numCache>
                <c:formatCode>General</c:formatCode>
                <c:ptCount val="3"/>
                <c:pt idx="0">
                  <c:v>32.244999999999997</c:v>
                </c:pt>
                <c:pt idx="1">
                  <c:v>20.07</c:v>
                </c:pt>
                <c:pt idx="2">
                  <c:v>144.93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C-4EAE-9EB6-922DBAEB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420480"/>
        <c:axId val="479417528"/>
      </c:barChart>
      <c:catAx>
        <c:axId val="4794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17528"/>
        <c:crosses val="autoZero"/>
        <c:auto val="1"/>
        <c:lblAlgn val="ctr"/>
        <c:lblOffset val="100"/>
        <c:noMultiLvlLbl val="0"/>
      </c:catAx>
      <c:valAx>
        <c:axId val="47941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Link Clicks by Audience</a:t>
            </a:r>
            <a:endParaRPr lang="en-US"/>
          </a:p>
        </c:rich>
      </c:tx>
      <c:layout>
        <c:manualLayout>
          <c:xMode val="edge"/>
          <c:yMode val="edge"/>
          <c:x val="0.31015266841644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Analysis'!$I$1</c:f>
              <c:strCache>
                <c:ptCount val="1"/>
                <c:pt idx="0">
                  <c:v>Link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Analysis'!$I$2:$I$5</c15:sqref>
                  </c15:fullRef>
                </c:ext>
              </c:extLst>
              <c:f>'Audience Analysis'!$I$2:$I$4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3-46D8-B0F4-6C97A75EB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723504"/>
        <c:axId val="488724160"/>
      </c:barChart>
      <c:catAx>
        <c:axId val="4887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4160"/>
        <c:crosses val="autoZero"/>
        <c:auto val="1"/>
        <c:lblAlgn val="ctr"/>
        <c:lblOffset val="100"/>
        <c:noMultiLvlLbl val="0"/>
      </c:catAx>
      <c:valAx>
        <c:axId val="4887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CTR by Audience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Analysis'!$H$1</c:f>
              <c:strCache>
                <c:ptCount val="1"/>
                <c:pt idx="0">
                  <c:v>CTR%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Analysis'!$H$2:$H$5</c15:sqref>
                  </c15:fullRef>
                </c:ext>
              </c:extLst>
              <c:f>'Audience Analysis'!$H$2:$H$4</c:f>
              <c:numCache>
                <c:formatCode>0.00%</c:formatCode>
                <c:ptCount val="3"/>
                <c:pt idx="0">
                  <c:v>5.9171600000000003E-3</c:v>
                </c:pt>
                <c:pt idx="1">
                  <c:v>1.069519E-2</c:v>
                </c:pt>
                <c:pt idx="2">
                  <c:v>2.9940099999999996E-3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5-48EF-BE57-B090CC9B13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007272"/>
        <c:axId val="225005632"/>
      </c:barChart>
      <c:catAx>
        <c:axId val="22500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5632"/>
        <c:crosses val="autoZero"/>
        <c:auto val="1"/>
        <c:lblAlgn val="ctr"/>
        <c:lblOffset val="100"/>
        <c:noMultiLvlLbl val="0"/>
      </c:catAx>
      <c:valAx>
        <c:axId val="2250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CPC (All) by Audience</a:t>
            </a:r>
            <a:endParaRPr lang="en-US"/>
          </a:p>
        </c:rich>
      </c:tx>
      <c:layout>
        <c:manualLayout>
          <c:xMode val="edge"/>
          <c:yMode val="edge"/>
          <c:x val="0.3592500000000000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Analysis'!$F$1</c:f>
              <c:strCache>
                <c:ptCount val="1"/>
                <c:pt idx="0">
                  <c:v>CPC 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Analysis'!$F$2:$F$5</c15:sqref>
                  </c15:fullRef>
                </c:ext>
              </c:extLst>
              <c:f>'Audience Analysis'!$F$2:$F$4</c:f>
              <c:numCache>
                <c:formatCode>General</c:formatCode>
                <c:ptCount val="3"/>
                <c:pt idx="0">
                  <c:v>32.244999999999997</c:v>
                </c:pt>
                <c:pt idx="1">
                  <c:v>20.07</c:v>
                </c:pt>
                <c:pt idx="2">
                  <c:v>144.93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8-4C59-A221-8C609178C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420480"/>
        <c:axId val="479417528"/>
      </c:barChart>
      <c:catAx>
        <c:axId val="4794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17528"/>
        <c:crosses val="autoZero"/>
        <c:auto val="1"/>
        <c:lblAlgn val="ctr"/>
        <c:lblOffset val="100"/>
        <c:noMultiLvlLbl val="0"/>
      </c:catAx>
      <c:valAx>
        <c:axId val="47941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Link Clicks by Audience</a:t>
            </a:r>
            <a:endParaRPr lang="en-US"/>
          </a:p>
        </c:rich>
      </c:tx>
      <c:layout>
        <c:manualLayout>
          <c:xMode val="edge"/>
          <c:yMode val="edge"/>
          <c:x val="0.31015266841644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'Audience Analysis'!$I$1</c:f>
              <c:strCache>
                <c:ptCount val="1"/>
                <c:pt idx="0">
                  <c:v>Link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'Audience Analysis'!$A$2:$A$5</c15:sqref>
                  </c15:fullRef>
                </c:ext>
              </c:extLst>
              <c:f>'Audience Analysis'!$A$2:$A$4</c:f>
              <c:strCache>
                <c:ptCount val="3"/>
                <c:pt idx="0">
                  <c:v>Travel &amp; Tourism</c:v>
                </c:pt>
                <c:pt idx="1">
                  <c:v>Marketing Agencies</c:v>
                </c:pt>
                <c:pt idx="2">
                  <c:v>Doctors / 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'Audience Analysis'!$I$2:$I$5</c15:sqref>
                  </c15:fullRef>
                </c:ext>
              </c:extLst>
              <c:f>'Audience Analysis'!$I$2:$I$4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F-4493-8A8B-0E5A16954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723504"/>
        <c:axId val="488724160"/>
      </c:barChart>
      <c:catAx>
        <c:axId val="4887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4160"/>
        <c:crosses val="autoZero"/>
        <c:auto val="1"/>
        <c:lblAlgn val="ctr"/>
        <c:lblOffset val="100"/>
        <c:noMultiLvlLbl val="0"/>
      </c:catAx>
      <c:valAx>
        <c:axId val="4887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6</xdr:row>
      <xdr:rowOff>171450</xdr:rowOff>
    </xdr:from>
    <xdr:to>
      <xdr:col>8</xdr:col>
      <xdr:colOff>45720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541020</xdr:colOff>
      <xdr:row>6</xdr:row>
      <xdr:rowOff>163830</xdr:rowOff>
    </xdr:from>
    <xdr:to>
      <xdr:col>16</xdr:col>
      <xdr:colOff>236220</xdr:colOff>
      <xdr:row>21</xdr:row>
      <xdr:rowOff>163830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6</xdr:row>
      <xdr:rowOff>179070</xdr:rowOff>
    </xdr:from>
    <xdr:to>
      <xdr:col>23</xdr:col>
      <xdr:colOff>563880</xdr:colOff>
      <xdr:row>21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388620</xdr:colOff>
      <xdr:row>21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5</xdr:row>
      <xdr:rowOff>175260</xdr:rowOff>
    </xdr:from>
    <xdr:to>
      <xdr:col>11</xdr:col>
      <xdr:colOff>15240</xdr:colOff>
      <xdr:row>20</xdr:row>
      <xdr:rowOff>175260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22860</xdr:colOff>
      <xdr:row>38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K3" sqref="K3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17</v>
      </c>
    </row>
    <row r="2" spans="1:9">
      <c r="A2" t="s">
        <v>7</v>
      </c>
      <c r="B2">
        <v>64.489999999999995</v>
      </c>
      <c r="C2">
        <v>383</v>
      </c>
      <c r="D2">
        <v>338</v>
      </c>
      <c r="E2">
        <v>0.59171600000000002</v>
      </c>
      <c r="F2">
        <v>32.244999999999997</v>
      </c>
      <c r="G2">
        <v>64.489999999999995</v>
      </c>
      <c r="H2" s="1">
        <f>E2/100</f>
        <v>5.9171600000000003E-3</v>
      </c>
      <c r="I2">
        <v>6</v>
      </c>
    </row>
    <row r="3" spans="1:9">
      <c r="A3" t="s">
        <v>8</v>
      </c>
      <c r="B3">
        <v>40.14</v>
      </c>
      <c r="C3">
        <v>197</v>
      </c>
      <c r="D3">
        <v>187</v>
      </c>
      <c r="E3">
        <v>1.0695190000000001</v>
      </c>
      <c r="F3">
        <v>20.07</v>
      </c>
      <c r="G3">
        <v>20.07</v>
      </c>
      <c r="H3" s="1">
        <f>E3/100</f>
        <v>1.069519E-2</v>
      </c>
      <c r="I3">
        <v>6</v>
      </c>
    </row>
    <row r="4" spans="1:9">
      <c r="A4" t="s">
        <v>9</v>
      </c>
      <c r="B4">
        <v>144.93</v>
      </c>
      <c r="C4">
        <v>376</v>
      </c>
      <c r="D4">
        <v>334</v>
      </c>
      <c r="E4">
        <v>0.29940099999999997</v>
      </c>
      <c r="F4">
        <v>144.93</v>
      </c>
      <c r="G4">
        <v>144.93</v>
      </c>
      <c r="H4" s="1">
        <f>E4/100</f>
        <v>2.9940099999999996E-3</v>
      </c>
      <c r="I4">
        <v>2</v>
      </c>
    </row>
    <row r="5" spans="1:9">
      <c r="A5" t="s">
        <v>11</v>
      </c>
      <c r="B5">
        <f>SUM(B2:B4)</f>
        <v>249.56</v>
      </c>
      <c r="C5">
        <f>SUM(C2:C4)</f>
        <v>956</v>
      </c>
      <c r="D5">
        <f>SUM(D2:D4)</f>
        <v>859</v>
      </c>
      <c r="I5">
        <f>SUM(I2:I4)</f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8" sqref="E8"/>
    </sheetView>
  </sheetViews>
  <sheetFormatPr defaultRowHeight="14.4"/>
  <cols>
    <col min="2" max="2" width="9.5546875" bestFit="1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>
        <f>'Audience Analysis'!B5</f>
        <v>249.56</v>
      </c>
    </row>
    <row r="3" spans="1:2">
      <c r="A3" t="s">
        <v>15</v>
      </c>
      <c r="B3">
        <f>'Audience Analysis'!C5</f>
        <v>956</v>
      </c>
    </row>
    <row r="4" spans="1:2">
      <c r="A4" t="s">
        <v>16</v>
      </c>
      <c r="B4">
        <f>'Audience Analysis'!D5</f>
        <v>859</v>
      </c>
    </row>
    <row r="5" spans="1:2">
      <c r="A5" t="s">
        <v>18</v>
      </c>
      <c r="B5" s="1">
        <f>SUM('Audience Analysis'!I2:I4)/SUM('Audience Analysis'!C2:C4)</f>
        <v>1.4644351464435146E-2</v>
      </c>
    </row>
    <row r="6" spans="1:2">
      <c r="A6" t="s">
        <v>19</v>
      </c>
      <c r="B6" s="2">
        <f>SUM('Audience Analysis'!B2:B4)/SUM('Audience Analysis'!I2:I4)</f>
        <v>17.825714285714287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A11" workbookViewId="0">
      <selection activeCell="S7" sqref="S7"/>
    </sheetView>
  </sheetViews>
  <sheetFormatPr defaultRowHeight="14.4"/>
  <cols>
    <col min="1" max="1" width="11.33203125" bestFit="1" customWidth="1"/>
    <col min="3" max="3" width="9" bestFit="1" customWidth="1"/>
    <col min="5" max="5" width="9" bestFit="1" customWidth="1"/>
    <col min="7" max="7" width="9" bestFit="1" customWidth="1"/>
    <col min="9" max="9" width="9" bestFit="1" customWidth="1"/>
    <col min="11" max="11" width="9.88671875" bestFit="1" customWidth="1"/>
  </cols>
  <sheetData>
    <row r="1" spans="1:11" ht="28.8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18">
      <c r="A3" s="8" t="s">
        <v>14</v>
      </c>
      <c r="B3" s="8"/>
      <c r="C3" s="8" t="s">
        <v>2</v>
      </c>
      <c r="D3" s="8"/>
      <c r="E3" s="8" t="s">
        <v>3</v>
      </c>
      <c r="F3" s="8"/>
      <c r="G3" s="8" t="s">
        <v>17</v>
      </c>
      <c r="H3" s="8"/>
      <c r="I3" s="8" t="s">
        <v>21</v>
      </c>
      <c r="J3" s="8"/>
      <c r="K3" s="8" t="s">
        <v>22</v>
      </c>
    </row>
    <row r="4" spans="1:11" ht="18">
      <c r="A4" s="9">
        <f>'KPI Summary'!B2</f>
        <v>249.56</v>
      </c>
      <c r="B4" s="4"/>
      <c r="C4" s="4">
        <f>'KPI Summary'!B3</f>
        <v>956</v>
      </c>
      <c r="D4" s="4"/>
      <c r="E4" s="4">
        <f>'KPI Summary'!B4</f>
        <v>859</v>
      </c>
      <c r="F4" s="4"/>
      <c r="G4" s="4">
        <f>'Audience Analysis'!I5</f>
        <v>14</v>
      </c>
      <c r="H4" s="4"/>
      <c r="I4" s="5">
        <f>'KPI Summary'!B5</f>
        <v>1.4644351464435146E-2</v>
      </c>
      <c r="J4" s="4"/>
      <c r="K4" s="10">
        <f>'KPI Summary'!B6</f>
        <v>17.825714285714287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G25" sqref="G25"/>
    </sheetView>
  </sheetViews>
  <sheetFormatPr defaultRowHeight="14.4"/>
  <cols>
    <col min="2" max="2" width="16.5546875" customWidth="1"/>
  </cols>
  <sheetData>
    <row r="1" spans="1:3" ht="15.6">
      <c r="A1" s="7" t="s">
        <v>23</v>
      </c>
      <c r="B1" s="7"/>
      <c r="C1" s="7"/>
    </row>
    <row r="2" spans="1:3">
      <c r="A2" t="s">
        <v>4</v>
      </c>
      <c r="B2" t="s">
        <v>24</v>
      </c>
    </row>
    <row r="3" spans="1:3">
      <c r="A3" t="s">
        <v>17</v>
      </c>
      <c r="B3" t="s">
        <v>25</v>
      </c>
    </row>
    <row r="4" spans="1:3">
      <c r="A4" t="s">
        <v>26</v>
      </c>
      <c r="B4" t="s">
        <v>27</v>
      </c>
    </row>
    <row r="5" spans="1:3">
      <c r="A5" t="s">
        <v>28</v>
      </c>
      <c r="B5" t="s">
        <v>29</v>
      </c>
    </row>
    <row r="6" spans="1:3">
      <c r="A6" t="s">
        <v>30</v>
      </c>
      <c r="B6" t="s">
        <v>31</v>
      </c>
    </row>
    <row r="8" spans="1:3" ht="15.6">
      <c r="A8" s="12" t="s">
        <v>32</v>
      </c>
      <c r="B8" s="7"/>
    </row>
    <row r="9" spans="1:3">
      <c r="A9" t="s">
        <v>33</v>
      </c>
    </row>
    <row r="11" spans="1:3" ht="15.6">
      <c r="A11" s="7" t="s">
        <v>34</v>
      </c>
      <c r="B11" s="7"/>
    </row>
    <row r="12" spans="1:3">
      <c r="A12" t="s">
        <v>35</v>
      </c>
    </row>
    <row r="13" spans="1:3">
      <c r="A13" t="s">
        <v>36</v>
      </c>
    </row>
    <row r="14" spans="1:3">
      <c r="A14" t="s">
        <v>37</v>
      </c>
    </row>
    <row r="15" spans="1:3">
      <c r="A15" t="s">
        <v>38</v>
      </c>
    </row>
    <row r="16" spans="1:3">
      <c r="A16" t="s">
        <v>39</v>
      </c>
    </row>
    <row r="18" spans="1:2" ht="15.6">
      <c r="A18" s="7" t="s">
        <v>40</v>
      </c>
      <c r="B18" s="6"/>
    </row>
    <row r="19" spans="1:2">
      <c r="A19" t="s">
        <v>41</v>
      </c>
    </row>
    <row r="21" spans="1:2" ht="15.6">
      <c r="A21" s="7" t="s">
        <v>42</v>
      </c>
    </row>
    <row r="22" spans="1:2">
      <c r="A22" t="s">
        <v>43</v>
      </c>
    </row>
    <row r="23" spans="1:2">
      <c r="A23" t="s">
        <v>44</v>
      </c>
    </row>
    <row r="24" spans="1:2">
      <c r="A24" s="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Audience Analysis</vt:lpstr>
      <vt:lpstr>KPI Summary</vt:lpstr>
      <vt:lpstr>Dashboard</vt:lpstr>
      <vt:lpstr>Insights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2026-09-22T20:19:52Z</dcterms:modified>
</cp:coreProperties>
</file>